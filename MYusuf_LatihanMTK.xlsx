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8_{1C0AAE4F-8A64-48AF-BD8C-C8B3E9C8F844}" xr6:coauthVersionLast="47" xr6:coauthVersionMax="47" xr10:uidLastSave="{00000000-0000-0000-0000-000000000000}"/>
  <bookViews>
    <workbookView xWindow="-110" yWindow="-110" windowWidth="19420" windowHeight="12220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G18" i="1" s="1" a="1"/>
  <c r="G18" i="1" s="1"/>
  <c r="F19" i="1"/>
  <c r="G19" i="1" s="1" a="1"/>
  <c r="G19" i="1" s="1"/>
  <c r="F20" i="1"/>
  <c r="G20" i="1" s="1" a="1"/>
  <c r="G20" i="1" s="1"/>
  <c r="F21" i="1"/>
  <c r="G21" i="1" s="1" a="1"/>
  <c r="G21" i="1" s="1"/>
  <c r="F22" i="1"/>
  <c r="G22" i="1" s="1" a="1"/>
  <c r="G22" i="1" s="1"/>
  <c r="F23" i="1"/>
  <c r="G23" i="1" s="1" a="1"/>
  <c r="G23" i="1" s="1"/>
  <c r="F24" i="1"/>
  <c r="G24" i="1" s="1" a="1"/>
  <c r="G24" i="1" s="1"/>
  <c r="F25" i="1"/>
  <c r="G25" i="1" s="1" a="1"/>
  <c r="G25" i="1" s="1"/>
  <c r="F26" i="1"/>
  <c r="G26" i="1" s="1" a="1"/>
  <c r="G26" i="1" s="1"/>
  <c r="F27" i="1"/>
  <c r="G27" i="1" s="1" a="1"/>
  <c r="G27" i="1" s="1"/>
  <c r="F28" i="1"/>
  <c r="G28" i="1" s="1" a="1"/>
  <c r="G28" i="1" s="1"/>
  <c r="F29" i="1"/>
  <c r="G29" i="1" s="1" a="1"/>
  <c r="G29" i="1" s="1"/>
  <c r="F30" i="1"/>
  <c r="G30" i="1" s="1" a="1"/>
  <c r="G30" i="1" s="1"/>
  <c r="F31" i="1"/>
  <c r="G31" i="1" s="1" a="1"/>
  <c r="G31" i="1" s="1"/>
  <c r="F32" i="1"/>
  <c r="G32" i="1" s="1" a="1"/>
  <c r="G32" i="1" s="1"/>
  <c r="F3" i="1"/>
  <c r="G3" i="1" s="1" a="1"/>
  <c r="G3" i="1" s="1"/>
  <c r="F4" i="1"/>
  <c r="G4" i="1" s="1" a="1"/>
  <c r="G4" i="1" s="1"/>
  <c r="F5" i="1"/>
  <c r="G5" i="1" s="1" a="1"/>
  <c r="G5" i="1" s="1"/>
  <c r="F6" i="1"/>
  <c r="G6" i="1" s="1" a="1"/>
  <c r="G6" i="1" s="1"/>
  <c r="F7" i="1"/>
  <c r="G7" i="1" s="1" a="1"/>
  <c r="G7" i="1" s="1"/>
  <c r="F8" i="1"/>
  <c r="G8" i="1" s="1" a="1"/>
  <c r="G8" i="1" s="1"/>
  <c r="F9" i="1"/>
  <c r="G9" i="1" s="1" a="1"/>
  <c r="G9" i="1" s="1"/>
  <c r="F10" i="1"/>
  <c r="G10" i="1" s="1" a="1"/>
  <c r="G10" i="1" s="1"/>
  <c r="F11" i="1"/>
  <c r="G11" i="1" s="1" a="1"/>
  <c r="G11" i="1" s="1"/>
  <c r="F12" i="1"/>
  <c r="G12" i="1" s="1" a="1"/>
  <c r="G12" i="1" s="1"/>
  <c r="F13" i="1"/>
  <c r="G13" i="1" s="1" a="1"/>
  <c r="G13" i="1" s="1"/>
  <c r="F14" i="1"/>
  <c r="G14" i="1" s="1" a="1"/>
  <c r="G14" i="1" s="1"/>
  <c r="F15" i="1"/>
  <c r="G15" i="1" s="1" a="1"/>
  <c r="G15" i="1" s="1"/>
  <c r="F16" i="1"/>
  <c r="G16" i="1" s="1" a="1"/>
  <c r="G16" i="1" s="1"/>
  <c r="F17" i="1"/>
  <c r="G17" i="1" s="1" a="1"/>
  <c r="G17" i="1" s="1"/>
  <c r="F2" i="1"/>
  <c r="G2" i="1" s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<sst xmlns="http://schemas.openxmlformats.org/spreadsheetml/2006/main" count="38" uniqueCount="38">
  <si>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Name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</si>
  <si>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</si>
  <si>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</si>
  <si>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</si>
  <si>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</si>
  <si>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</si>
  <si>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</si>
  <si>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</si>
  <si>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</si>
  <si>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</si>
  <si>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</si>
  <si>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</si>
  <si>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</si>
  <si>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</si>
  <si>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</si>
  <si>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</si>
  <si>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</si>
  <si>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</si>
  <si>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</si>
  <si>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</si>
  <si>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</si>
  <si>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</si>
  <si>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</si>
  <si>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</si>
  <si>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</si>
  <si>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</si>
  <si>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</si>
  <si>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</si>
  <si>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</si>
  <si>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</si>
  <si>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</si>
  <si>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Muhammad Yusuf</t>
  </si>
  <si>
    <t>NIM</t>
  </si>
  <si>
    <t>KUIS</t>
  </si>
  <si>
    <t>UTS</t>
  </si>
  <si>
    <t>UAS</t>
  </si>
  <si>
    <t>NILAI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</si>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</sst>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5" tint="-0.249977111117893"/>
      <name val="Calibri"/>
      <family val="2"/>
    </font>
    <font>
      <sz val="12"/>
      <color theme="1"/>
      <name val="Calibri"/>
      <family val="2"/>
    </font>
    <font>
      <sz val="12"/>
      <color rgb="FFFFC000"/>
      <name val="Calibri"/>
      <family val="2"/>
    </font>
    <font>
      <b/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1" fillId="2" borderId="0" xfId="0" applyFont="1" applyFill="1"/>
    <xf numFmtId="0" fontId="2" fillId="2" borderId="0" xfId="0" applyFont="1" applyFill="1" applyBorder="1" applyAlignment="1">
      <alignment horizontal="centerContinuous" vertical="center"/>
    </xf>
    <xf numFmtId="0" fontId="1" fillId="2" borderId="0" xfId="0" applyFont="1" applyFill="1" applyBorder="1"/>
    <xf numFmtId="0" fontId="1" fillId="0" borderId="0" xfId="0" applyFont="1" applyFill="1"/>
    <xf numFmtId="0" fontId="1" fillId="0" borderId="0" xfId="0" applyFont="1" applyFill="1" applyBorder="1"/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O56"/>
  <sheetViews>
    <sheetView tabSelected="1" zoomScale="60" workbookViewId="0">
      <selection activeCell="O26" sqref="O26"/>
    </sheetView>
  </sheetViews>
  <sheetFormatPr defaultRowHeight="14.5" x14ac:dyDescent="0.35"/>
  <cols>
    <col min="1" max="1" width="17.26953125" style="1" customWidth="1"/>
    <col min="2" max="2" width="21.1796875" style="1" customWidth="1"/>
    <col min="3" max="3" width="18.54296875" style="1" bestFit="1" customWidth="1"/>
    <col min="4" max="4" width="17.7265625" style="1" customWidth="1"/>
    <col min="5" max="5" width="18.26953125" style="1" customWidth="1"/>
    <col min="6" max="7" width="21.81640625" style="1" customWidth="1"/>
    <col min="8" max="8" width="15.453125" style="1" customWidth="1"/>
    <col min="9" max="9" width="21.81640625" style="1" customWidth="1"/>
    <col min="10" max="10" width="17.54296875" customWidth="1"/>
    <col min="11" max="11" width="18.08984375" customWidth="1"/>
    <col min="12" max="12" width="17.1796875" customWidth="1"/>
    <col min="13" max="13" width="17.54296875" customWidth="1"/>
  </cols>
  <sheetData>
    <row r="1" spans="1:15" ht="35.5" customHeight="1" x14ac:dyDescent="0.35">
      <c r="A1" s="4" t="s">
        <v>32</v>
      </c>
      <c r="B1" s="4" t="s">
        <v>0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</row>
    <row r="2" spans="1:15" ht="18.5" x14ac:dyDescent="0.35">
      <c r="A2" s="7">
        <v>2455301128</v>
      </c>
      <c r="B2" s="7" t="s">
        <v>31</v>
      </c>
      <c r="C2" s="7">
        <v>85</v>
      </c>
      <c r="D2" s="7">
        <v>90</v>
      </c>
      <c r="E2" s="7">
        <v>95</v>
      </c>
      <c r="F2" s="7">
        <f>(C2*0.32)+(D2*0.33)+(E2*0.35)</f>
        <v>90.15</v>
      </c>
      <c r="G2" s="7" t="str" cm="1">
        <f t="array" ref="G2">_xlfn.IFS(F2&gt;=81,"A",F2&gt;=76,"AB",F2&gt;=66,"B",F2&gt;=61,"BC",F2&gt;=51,"C",F2&lt;51,"F")</f>
        <v>A</v>
      </c>
      <c r="H2" s="10"/>
      <c r="I2" s="10"/>
    </row>
    <row r="3" spans="1:15" ht="15.5" x14ac:dyDescent="0.35">
      <c r="A3" s="6">
        <v>120001</v>
      </c>
      <c r="B3" s="6" t="s">
        <v>1</v>
      </c>
      <c r="C3" s="6">
        <v>85</v>
      </c>
      <c r="D3" s="6">
        <v>78</v>
      </c>
      <c r="E3" s="6">
        <v>90</v>
      </c>
      <c r="F3" s="5">
        <f>(C3*0.32)+(D3*0.33)+(E3*0.35)</f>
        <v>84.44</v>
      </c>
      <c r="G3" s="5" t="str" cm="1">
        <f t="array" ref="G3">_xlfn.IFS(F3&gt;=81,"A",F3&gt;=76,"AB",F3&gt;=66,"B",F3&gt;=61,"BC",F3&gt;=51,"C",F3&lt;51,"F")</f>
        <v>A</v>
      </c>
      <c r="H3" s="11"/>
      <c r="I3" s="11"/>
    </row>
    <row r="4" spans="1:15" ht="18.5" x14ac:dyDescent="0.35">
      <c r="A4" s="6">
        <v>120005</v>
      </c>
      <c r="B4" s="6" t="s">
        <v>2</v>
      </c>
      <c r="C4" s="6">
        <v>92</v>
      </c>
      <c r="D4" s="6">
        <v>88</v>
      </c>
      <c r="E4" s="6">
        <v>94</v>
      </c>
      <c r="F4" s="5">
        <f>(C4*0.32)+(D4*0.33)+(E4*0.35)</f>
        <v>91.38</v>
      </c>
      <c r="G4" s="5" t="str" cm="1">
        <f t="array" ref="G4">_xlfn.IFS(F4&gt;=81,"A",F4&gt;=76,"AB",F4&gt;=66,"B",F4&gt;=61,"BC",F4&gt;=51,"C",F4&lt;51,"F")</f>
        <v>A</v>
      </c>
      <c r="H4" s="10"/>
      <c r="I4" s="10"/>
    </row>
    <row r="5" spans="1:15" ht="15.5" x14ac:dyDescent="0.35">
      <c r="A5" s="6">
        <v>120017</v>
      </c>
      <c r="B5" s="6" t="s">
        <v>3</v>
      </c>
      <c r="C5" s="6">
        <v>48</v>
      </c>
      <c r="D5" s="6">
        <v>65</v>
      </c>
      <c r="E5" s="6">
        <v>56</v>
      </c>
      <c r="F5" s="5">
        <f>(C5*0.32)+(D5*0.33)+(E5*0.35)</f>
        <v>56.41</v>
      </c>
      <c r="G5" s="5" t="str" cm="1">
        <f t="array" ref="G5">_xlfn.IFS(F5&gt;=81,"A",F5&gt;=76,"AB",F5&gt;=66,"B",F5&gt;=61,"BC",F5&gt;=51,"C",F5&lt;51,"F")</f>
        <v>C</v>
      </c>
      <c r="H5" s="9"/>
      <c r="I5" s="9"/>
    </row>
    <row r="6" spans="1:15" ht="15.5" x14ac:dyDescent="0.35">
      <c r="A6" s="6">
        <v>120018</v>
      </c>
      <c r="B6" s="6" t="s">
        <v>4</v>
      </c>
      <c r="C6" s="6">
        <v>90</v>
      </c>
      <c r="D6" s="6">
        <v>85</v>
      </c>
      <c r="E6" s="6">
        <v>88</v>
      </c>
      <c r="F6" s="5">
        <f>(C6*0.32)+(D6*0.33)+(E6*0.35)</f>
        <v>87.65</v>
      </c>
      <c r="G6" s="5" t="str" cm="1">
        <f t="array" ref="G6">_xlfn.IFS(F6&gt;=81,"A",F6&gt;=76,"AB",F6&gt;=66,"B",F6&gt;=61,"BC",F6&gt;=51,"C",F6&lt;51,"F")</f>
        <v>A</v>
      </c>
      <c r="H6" s="9"/>
      <c r="I6" s="12"/>
      <c r="J6" s="16"/>
      <c r="K6" s="16"/>
      <c r="L6" s="16"/>
      <c r="M6" s="16"/>
      <c r="N6" s="16"/>
      <c r="O6" s="16"/>
    </row>
    <row r="7" spans="1:15" ht="15.5" x14ac:dyDescent="0.35">
      <c r="A7" s="6">
        <v>120022</v>
      </c>
      <c r="B7" s="6" t="s">
        <v>5</v>
      </c>
      <c r="C7" s="6">
        <v>75</v>
      </c>
      <c r="D7" s="6">
        <v>80</v>
      </c>
      <c r="E7" s="6">
        <v>77</v>
      </c>
      <c r="F7" s="5">
        <f>(C7*0.32)+(D7*0.33)+(E7*0.35)</f>
        <v>77.350000000000009</v>
      </c>
      <c r="G7" s="5" t="str" cm="1">
        <f t="array" ref="G7">_xlfn.IFS(F7&gt;=81,"A",F7&gt;=76,"AB",F7&gt;=66,"B",F7&gt;=61,"BC",F7&gt;=51,"C",F7&lt;51,"F")</f>
        <v>AB</v>
      </c>
      <c r="I7" s="17"/>
      <c r="J7" s="16"/>
      <c r="K7" s="16"/>
      <c r="L7" s="16"/>
      <c r="M7" s="16"/>
      <c r="N7" s="16"/>
      <c r="O7" s="16"/>
    </row>
    <row r="8" spans="1:15" ht="30" customHeight="1" x14ac:dyDescent="0.35">
      <c r="A8" s="6">
        <v>120024</v>
      </c>
      <c r="B8" s="6" t="s">
        <v>6</v>
      </c>
      <c r="C8" s="6">
        <v>88</v>
      </c>
      <c r="D8" s="6">
        <v>70</v>
      </c>
      <c r="E8" s="6">
        <v>65</v>
      </c>
      <c r="F8" s="5">
        <f>(C8*0.32)+(D8*0.33)+(E8*0.35)</f>
        <v>74.010000000000005</v>
      </c>
      <c r="G8" s="5" t="str" cm="1">
        <f t="array" ref="G8">_xlfn.IFS(F8&gt;=81,"A",F8&gt;=76,"AB",F8&gt;=66,"B",F8&gt;=61,"BC",F8&gt;=51,"C",F8&lt;51,"F")</f>
        <v>B</v>
      </c>
      <c r="I8" s="17"/>
      <c r="J8" s="18"/>
      <c r="K8" s="18"/>
      <c r="L8" s="18"/>
      <c r="M8" s="18"/>
      <c r="N8" s="16"/>
      <c r="O8" s="16"/>
    </row>
    <row r="9" spans="1:15" ht="15.5" x14ac:dyDescent="0.35">
      <c r="A9" s="6">
        <v>120025</v>
      </c>
      <c r="B9" s="6" t="s">
        <v>7</v>
      </c>
      <c r="C9" s="6">
        <v>75</v>
      </c>
      <c r="D9" s="6">
        <v>70</v>
      </c>
      <c r="E9" s="6">
        <v>75</v>
      </c>
      <c r="F9" s="5">
        <f>(C9*0.32)+(D9*0.33)+(E9*0.35)</f>
        <v>73.349999999999994</v>
      </c>
      <c r="G9" s="5" t="str" cm="1">
        <f t="array" ref="G9">_xlfn.IFS(F9&gt;=81,"A",F9&gt;=76,"AB",F9&gt;=66,"B",F9&gt;=61,"BC",F9&gt;=51,"C",F9&lt;51,"F")</f>
        <v>B</v>
      </c>
      <c r="I9" s="19"/>
      <c r="J9" s="20"/>
      <c r="K9" s="21"/>
      <c r="L9" s="21"/>
      <c r="M9" s="22"/>
      <c r="N9" s="16"/>
      <c r="O9" s="16"/>
    </row>
    <row r="10" spans="1:15" ht="15.5" x14ac:dyDescent="0.35">
      <c r="A10" s="6">
        <v>120027</v>
      </c>
      <c r="B10" s="6" t="s">
        <v>8</v>
      </c>
      <c r="C10" s="6">
        <v>95</v>
      </c>
      <c r="D10" s="6">
        <v>91</v>
      </c>
      <c r="E10" s="6">
        <v>96</v>
      </c>
      <c r="F10" s="5">
        <f>(C10*0.32)+(D10*0.33)+(E10*0.35)</f>
        <v>94.03</v>
      </c>
      <c r="G10" s="5" t="str" cm="1">
        <f t="array" ref="G10">_xlfn.IFS(F10&gt;=81,"A",F10&gt;=76,"AB",F10&gt;=66,"B",F10&gt;=61,"BC",F10&gt;=51,"C",F10&lt;51,"F")</f>
        <v>A</v>
      </c>
      <c r="I10" s="19"/>
      <c r="J10" s="20"/>
      <c r="K10" s="21"/>
      <c r="L10" s="21"/>
      <c r="M10" s="22"/>
      <c r="N10" s="16"/>
      <c r="O10" s="16"/>
    </row>
    <row r="11" spans="1:15" ht="15.5" x14ac:dyDescent="0.35">
      <c r="A11" s="6">
        <v>120034</v>
      </c>
      <c r="B11" s="6" t="s">
        <v>9</v>
      </c>
      <c r="C11" s="6">
        <v>79</v>
      </c>
      <c r="D11" s="6">
        <v>84</v>
      </c>
      <c r="E11" s="6">
        <v>78</v>
      </c>
      <c r="F11" s="5">
        <f>(C11*0.32)+(D11*0.33)+(E11*0.35)</f>
        <v>80.3</v>
      </c>
      <c r="G11" s="5" t="str" cm="1">
        <f t="array" ref="G11">_xlfn.IFS(F11&gt;=81,"A",F11&gt;=76,"AB",F11&gt;=66,"B",F11&gt;=61,"BC",F11&gt;=51,"C",F11&lt;51,"F")</f>
        <v>AB</v>
      </c>
      <c r="I11" s="19"/>
      <c r="J11" s="20"/>
      <c r="K11" s="21"/>
      <c r="L11" s="21"/>
      <c r="M11" s="22"/>
      <c r="N11" s="16"/>
      <c r="O11" s="16"/>
    </row>
    <row r="12" spans="1:15" ht="15.5" x14ac:dyDescent="0.35">
      <c r="A12" s="6">
        <v>120035</v>
      </c>
      <c r="B12" s="6" t="s">
        <v>10</v>
      </c>
      <c r="C12" s="6">
        <v>42</v>
      </c>
      <c r="D12" s="6">
        <v>48</v>
      </c>
      <c r="E12" s="6">
        <v>63</v>
      </c>
      <c r="F12" s="5">
        <f>(C12*0.32)+(D12*0.33)+(E12*0.35)</f>
        <v>51.33</v>
      </c>
      <c r="G12" s="5" t="str" cm="1">
        <f t="array" ref="G12">_xlfn.IFS(F12&gt;=81,"A",F12&gt;=76,"AB",F12&gt;=66,"B",F12&gt;=61,"BC",F12&gt;=51,"C",F12&lt;51,"F")</f>
        <v>C</v>
      </c>
      <c r="I12" s="19"/>
      <c r="J12" s="20"/>
      <c r="K12" s="21"/>
      <c r="L12" s="21"/>
      <c r="M12" s="22"/>
      <c r="N12" s="16"/>
      <c r="O12" s="16"/>
    </row>
    <row r="13" spans="1:15" ht="15.5" x14ac:dyDescent="0.35">
      <c r="A13" s="6">
        <v>120036</v>
      </c>
      <c r="B13" s="6" t="s">
        <v>11</v>
      </c>
      <c r="C13" s="6">
        <v>53</v>
      </c>
      <c r="D13" s="6">
        <v>64</v>
      </c>
      <c r="E13" s="6">
        <v>59</v>
      </c>
      <c r="F13" s="5">
        <f>(C13*0.32)+(D13*0.33)+(E13*0.35)</f>
        <v>58.73</v>
      </c>
      <c r="G13" s="5" t="str" cm="1">
        <f t="array" ref="G13">_xlfn.IFS(F13&gt;=81,"A",F13&gt;=76,"AB",F13&gt;=66,"B",F13&gt;=61,"BC",F13&gt;=51,"C",F13&lt;51,"F")</f>
        <v>C</v>
      </c>
      <c r="I13" s="19"/>
      <c r="J13" s="20"/>
      <c r="K13" s="21"/>
      <c r="L13" s="21"/>
      <c r="M13" s="22"/>
      <c r="N13" s="16"/>
      <c r="O13" s="16"/>
    </row>
    <row r="14" spans="1:15" ht="15.5" x14ac:dyDescent="0.35">
      <c r="A14" s="6">
        <v>120038</v>
      </c>
      <c r="B14" s="6" t="s">
        <v>12</v>
      </c>
      <c r="C14" s="6">
        <v>91</v>
      </c>
      <c r="D14" s="6">
        <v>95</v>
      </c>
      <c r="E14" s="6">
        <v>90</v>
      </c>
      <c r="F14" s="5">
        <f>(C14*0.32)+(D14*0.33)+(E14*0.35)</f>
        <v>91.97</v>
      </c>
      <c r="G14" s="5" t="str" cm="1">
        <f t="array" ref="G14">_xlfn.IFS(F14&gt;=81,"A",F14&gt;=76,"AB",F14&gt;=66,"B",F14&gt;=61,"BC",F14&gt;=51,"C",F14&lt;51,"F")</f>
        <v>A</v>
      </c>
      <c r="I14" s="19"/>
      <c r="J14" s="20"/>
      <c r="K14" s="21"/>
      <c r="L14" s="21"/>
      <c r="M14" s="22"/>
      <c r="N14" s="16"/>
      <c r="O14" s="16"/>
    </row>
    <row r="15" spans="1:15" ht="15.5" x14ac:dyDescent="0.35">
      <c r="A15" s="6">
        <v>120039</v>
      </c>
      <c r="B15" s="6" t="s">
        <v>13</v>
      </c>
      <c r="C15" s="6">
        <v>76</v>
      </c>
      <c r="D15" s="6">
        <v>81</v>
      </c>
      <c r="E15" s="6">
        <v>75</v>
      </c>
      <c r="F15" s="5">
        <f>(C15*0.32)+(D15*0.33)+(E15*0.35)</f>
        <v>77.3</v>
      </c>
      <c r="G15" s="5" t="str" cm="1">
        <f t="array" ref="G15">_xlfn.IFS(F15&gt;=81,"A",F15&gt;=76,"AB",F15&gt;=66,"B",F15&gt;=61,"BC",F15&gt;=51,"C",F15&lt;51,"F")</f>
        <v>AB</v>
      </c>
      <c r="I15" s="19"/>
      <c r="J15" s="23"/>
      <c r="K15" s="23"/>
      <c r="L15" s="23"/>
      <c r="M15" s="23"/>
      <c r="N15" s="16"/>
      <c r="O15" s="16"/>
    </row>
    <row r="16" spans="1:15" ht="15.5" x14ac:dyDescent="0.35">
      <c r="A16" s="6">
        <v>120046</v>
      </c>
      <c r="B16" s="6" t="s">
        <v>14</v>
      </c>
      <c r="C16" s="6">
        <v>89</v>
      </c>
      <c r="D16" s="6">
        <v>93</v>
      </c>
      <c r="E16" s="6">
        <v>88</v>
      </c>
      <c r="F16" s="5">
        <f>(C16*0.32)+(D16*0.33)+(E16*0.35)</f>
        <v>89.97</v>
      </c>
      <c r="G16" s="5" t="str" cm="1">
        <f t="array" ref="G16">_xlfn.IFS(F16&gt;=81,"A",F16&gt;=76,"AB",F16&gt;=66,"B",F16&gt;=61,"BC",F16&gt;=51,"C",F16&lt;51,"F")</f>
        <v>A</v>
      </c>
      <c r="I16" s="19"/>
      <c r="J16" s="23"/>
      <c r="K16" s="23"/>
      <c r="L16" s="23"/>
      <c r="M16" s="23"/>
      <c r="N16" s="16"/>
      <c r="O16" s="16"/>
    </row>
    <row r="17" spans="1:15" ht="15.5" x14ac:dyDescent="0.35">
      <c r="A17" s="6">
        <v>120047</v>
      </c>
      <c r="B17" s="6" t="s">
        <v>15</v>
      </c>
      <c r="C17" s="6">
        <v>80</v>
      </c>
      <c r="D17" s="6">
        <v>85</v>
      </c>
      <c r="E17" s="6">
        <v>79</v>
      </c>
      <c r="F17" s="5">
        <f>(C17*0.32)+(D17*0.33)+(E17*0.35)</f>
        <v>81.300000000000011</v>
      </c>
      <c r="G17" s="5" t="str" cm="1">
        <f t="array" ref="G17">_xlfn.IFS(F17&gt;=81,"A",F17&gt;=76,"AB",F17&gt;=66,"B",F17&gt;=61,"BC",F17&gt;=51,"C",F17&lt;51,"F")</f>
        <v>A</v>
      </c>
      <c r="I17" s="19"/>
      <c r="J17" s="23"/>
      <c r="K17" s="23"/>
      <c r="L17" s="23"/>
      <c r="M17" s="23"/>
      <c r="N17" s="16"/>
      <c r="O17" s="16"/>
    </row>
    <row r="18" spans="1:15" ht="15.5" x14ac:dyDescent="0.35">
      <c r="A18" s="6">
        <v>120049</v>
      </c>
      <c r="B18" s="6" t="s">
        <v>16</v>
      </c>
      <c r="C18" s="6">
        <v>94</v>
      </c>
      <c r="D18" s="6">
        <v>90</v>
      </c>
      <c r="E18" s="6">
        <v>95</v>
      </c>
      <c r="F18" s="5">
        <f>(C18*0.32)+(D18*0.33)+(E18*0.35)</f>
        <v>93.03</v>
      </c>
      <c r="G18" s="5" t="str" cm="1">
        <f t="array" ref="G18">_xlfn.IFS(F18&gt;=81,"A",F18&gt;=76,"AB",F18&gt;=66,"B",F18&gt;=61,"BC",F18&gt;=51,"C",F18&lt;51,"F")</f>
        <v>A</v>
      </c>
      <c r="I18" s="19"/>
      <c r="J18" s="23"/>
      <c r="K18" s="23"/>
      <c r="L18" s="23"/>
      <c r="M18" s="23"/>
      <c r="N18" s="16"/>
      <c r="O18" s="16"/>
    </row>
    <row r="19" spans="1:15" ht="15.5" x14ac:dyDescent="0.35">
      <c r="A19" s="6">
        <v>120054</v>
      </c>
      <c r="B19" s="6" t="s">
        <v>17</v>
      </c>
      <c r="C19" s="6">
        <v>77</v>
      </c>
      <c r="D19" s="6">
        <v>82</v>
      </c>
      <c r="E19" s="6">
        <v>76</v>
      </c>
      <c r="F19" s="5">
        <f>(C19*0.32)+(D19*0.33)+(E19*0.35)</f>
        <v>78.3</v>
      </c>
      <c r="G19" s="5" t="str" cm="1">
        <f t="array" ref="G19">_xlfn.IFS(F19&gt;=81,"A",F19&gt;=76,"AB",F19&gt;=66,"B",F19&gt;=61,"BC",F19&gt;=51,"C",F19&lt;51,"F")</f>
        <v>AB</v>
      </c>
      <c r="I19" s="2"/>
      <c r="J19" s="8"/>
      <c r="K19" s="8"/>
      <c r="L19" s="8"/>
      <c r="M19" s="8"/>
    </row>
    <row r="20" spans="1:15" ht="15.5" x14ac:dyDescent="0.35">
      <c r="A20" s="6">
        <v>120060</v>
      </c>
      <c r="B20" s="6" t="s">
        <v>18</v>
      </c>
      <c r="C20" s="6">
        <v>86</v>
      </c>
      <c r="D20" s="6">
        <v>89</v>
      </c>
      <c r="E20" s="6">
        <v>84</v>
      </c>
      <c r="F20" s="5">
        <f>(C20*0.32)+(D20*0.33)+(E20*0.35)</f>
        <v>86.289999999999992</v>
      </c>
      <c r="G20" s="5" t="str" cm="1">
        <f t="array" ref="G20">_xlfn.IFS(F20&gt;=81,"A",F20&gt;=76,"AB",F20&gt;=66,"B",F20&gt;=61,"BC",F20&gt;=51,"C",F20&lt;51,"F")</f>
        <v>A</v>
      </c>
      <c r="I20" s="2"/>
      <c r="J20" s="8"/>
      <c r="K20" s="8"/>
      <c r="L20" s="8"/>
      <c r="M20" s="8"/>
    </row>
    <row r="21" spans="1:15" ht="15.5" x14ac:dyDescent="0.35">
      <c r="A21" s="6">
        <v>120063</v>
      </c>
      <c r="B21" s="6" t="s">
        <v>19</v>
      </c>
      <c r="C21" s="6">
        <v>92</v>
      </c>
      <c r="D21" s="6">
        <v>88</v>
      </c>
      <c r="E21" s="6">
        <v>93</v>
      </c>
      <c r="F21" s="5">
        <f>(C21*0.32)+(D21*0.33)+(E21*0.35)</f>
        <v>91.03</v>
      </c>
      <c r="G21" s="5" t="str" cm="1">
        <f t="array" ref="G21">_xlfn.IFS(F21&gt;=81,"A",F21&gt;=76,"AB",F21&gt;=66,"B",F21&gt;=61,"BC",F21&gt;=51,"C",F21&lt;51,"F")</f>
        <v>A</v>
      </c>
      <c r="I21" s="2"/>
      <c r="J21" s="8"/>
      <c r="K21" s="8"/>
      <c r="L21" s="8"/>
      <c r="M21" s="8"/>
    </row>
    <row r="22" spans="1:15" ht="15.5" x14ac:dyDescent="0.35">
      <c r="A22" s="6">
        <v>120070</v>
      </c>
      <c r="B22" s="6" t="s">
        <v>20</v>
      </c>
      <c r="C22" s="6">
        <v>78</v>
      </c>
      <c r="D22" s="6">
        <v>83</v>
      </c>
      <c r="E22" s="6">
        <v>77</v>
      </c>
      <c r="F22" s="5">
        <f>(C22*0.32)+(D22*0.33)+(E22*0.35)</f>
        <v>79.3</v>
      </c>
      <c r="G22" s="5" t="str" cm="1">
        <f t="array" ref="G22">_xlfn.IFS(F22&gt;=81,"A",F22&gt;=76,"AB",F22&gt;=66,"B",F22&gt;=61,"BC",F22&gt;=51,"C",F22&lt;51,"F")</f>
        <v>AB</v>
      </c>
      <c r="I22" s="2"/>
      <c r="J22" s="8"/>
      <c r="K22" s="8"/>
      <c r="L22" s="8"/>
      <c r="M22" s="8"/>
    </row>
    <row r="23" spans="1:15" ht="15.5" x14ac:dyDescent="0.35">
      <c r="A23" s="6">
        <v>120071</v>
      </c>
      <c r="B23" s="6" t="s">
        <v>21</v>
      </c>
      <c r="C23" s="6">
        <v>41</v>
      </c>
      <c r="D23" s="6">
        <v>53</v>
      </c>
      <c r="E23" s="6">
        <v>44</v>
      </c>
      <c r="F23" s="5">
        <f>(C23*0.32)+(D23*0.33)+(E23*0.35)</f>
        <v>46.010000000000005</v>
      </c>
      <c r="G23" s="5" t="str" cm="1">
        <f t="array" ref="G23">_xlfn.IFS(F23&gt;=81,"A",F23&gt;=76,"AB",F23&gt;=66,"B",F23&gt;=61,"BC",F23&gt;=51,"C",F23&lt;51,"F")</f>
        <v>F</v>
      </c>
      <c r="I23" s="2"/>
      <c r="J23" s="8"/>
      <c r="K23" s="8"/>
      <c r="L23" s="8"/>
      <c r="M23" s="8"/>
    </row>
    <row r="24" spans="1:15" ht="15.5" x14ac:dyDescent="0.35">
      <c r="A24" s="6">
        <v>120073</v>
      </c>
      <c r="B24" s="6" t="s">
        <v>22</v>
      </c>
      <c r="C24" s="6">
        <v>68</v>
      </c>
      <c r="D24" s="6">
        <v>49</v>
      </c>
      <c r="E24" s="6">
        <v>54</v>
      </c>
      <c r="F24" s="5">
        <f>(C24*0.32)+(D24*0.33)+(E24*0.35)</f>
        <v>56.830000000000005</v>
      </c>
      <c r="G24" s="5" t="str" cm="1">
        <f t="array" ref="G24">_xlfn.IFS(F24&gt;=81,"A",F24&gt;=76,"AB",F24&gt;=66,"B",F24&gt;=61,"BC",F24&gt;=51,"C",F24&lt;51,"F")</f>
        <v>C</v>
      </c>
      <c r="I24" s="2"/>
      <c r="J24" s="8"/>
      <c r="K24" s="8"/>
      <c r="L24" s="8"/>
      <c r="M24" s="8"/>
    </row>
    <row r="25" spans="1:15" ht="15.5" x14ac:dyDescent="0.35">
      <c r="A25" s="6">
        <v>120082</v>
      </c>
      <c r="B25" s="6" t="s">
        <v>23</v>
      </c>
      <c r="C25" s="6">
        <v>81</v>
      </c>
      <c r="D25" s="6">
        <v>87</v>
      </c>
      <c r="E25" s="6">
        <v>80</v>
      </c>
      <c r="F25" s="5">
        <f>(C25*0.32)+(D25*0.33)+(E25*0.35)</f>
        <v>82.63</v>
      </c>
      <c r="G25" s="5" t="str" cm="1">
        <f t="array" ref="G25">_xlfn.IFS(F25&gt;=81,"A",F25&gt;=76,"AB",F25&gt;=66,"B",F25&gt;=61,"BC",F25&gt;=51,"C",F25&lt;51,"F")</f>
        <v>A</v>
      </c>
      <c r="I25" s="2"/>
      <c r="J25" s="8"/>
      <c r="K25" s="8"/>
      <c r="L25" s="8"/>
      <c r="M25" s="8"/>
    </row>
    <row r="26" spans="1:15" ht="15.5" x14ac:dyDescent="0.35">
      <c r="A26" s="6">
        <v>120083</v>
      </c>
      <c r="B26" s="6" t="s">
        <v>24</v>
      </c>
      <c r="C26" s="6">
        <v>87</v>
      </c>
      <c r="D26" s="6">
        <v>90</v>
      </c>
      <c r="E26" s="6">
        <v>85</v>
      </c>
      <c r="F26" s="5">
        <f>(C26*0.32)+(D26*0.33)+(E26*0.35)</f>
        <v>87.29</v>
      </c>
      <c r="G26" s="5" t="str" cm="1">
        <f t="array" ref="G26">_xlfn.IFS(F26&gt;=81,"A",F26&gt;=76,"AB",F26&gt;=66,"B",F26&gt;=61,"BC",F26&gt;=51,"C",F26&lt;51,"F")</f>
        <v>A</v>
      </c>
      <c r="I26" s="2"/>
      <c r="J26" s="8"/>
      <c r="K26" s="8"/>
      <c r="L26" s="8"/>
      <c r="M26" s="8"/>
    </row>
    <row r="27" spans="1:15" ht="15.5" x14ac:dyDescent="0.35">
      <c r="A27" s="6">
        <v>120088</v>
      </c>
      <c r="B27" s="6" t="s">
        <v>25</v>
      </c>
      <c r="C27" s="6">
        <v>79</v>
      </c>
      <c r="D27" s="6">
        <v>84</v>
      </c>
      <c r="E27" s="6">
        <v>78</v>
      </c>
      <c r="F27" s="5">
        <f>(C27*0.32)+(D27*0.33)+(E27*0.35)</f>
        <v>80.3</v>
      </c>
      <c r="G27" s="5" t="str" cm="1">
        <f t="array" ref="G27">_xlfn.IFS(F27&gt;=81,"A",F27&gt;=76,"AB",F27&gt;=66,"B",F27&gt;=61,"BC",F27&gt;=51,"C",F27&lt;51,"F")</f>
        <v>AB</v>
      </c>
      <c r="I27" s="2"/>
      <c r="J27" s="8"/>
      <c r="K27" s="8"/>
      <c r="L27" s="8"/>
      <c r="M27" s="8"/>
    </row>
    <row r="28" spans="1:15" ht="15.5" x14ac:dyDescent="0.35">
      <c r="A28" s="6">
        <v>120090</v>
      </c>
      <c r="B28" s="6" t="s">
        <v>26</v>
      </c>
      <c r="C28" s="6">
        <v>70</v>
      </c>
      <c r="D28" s="6">
        <v>77</v>
      </c>
      <c r="E28" s="6">
        <v>64</v>
      </c>
      <c r="F28" s="5">
        <f>(C28*0.32)+(D28*0.33)+(E28*0.35)</f>
        <v>70.210000000000008</v>
      </c>
      <c r="G28" s="5" t="str" cm="1">
        <f t="array" ref="G28">_xlfn.IFS(F28&gt;=81,"A",F28&gt;=76,"AB",F28&gt;=66,"B",F28&gt;=61,"BC",F28&gt;=51,"C",F28&lt;51,"F")</f>
        <v>B</v>
      </c>
      <c r="I28" s="2"/>
      <c r="J28" s="8"/>
      <c r="K28" s="8"/>
      <c r="L28" s="8"/>
      <c r="M28" s="8"/>
    </row>
    <row r="29" spans="1:15" ht="15.5" x14ac:dyDescent="0.35">
      <c r="A29" s="6">
        <v>120093</v>
      </c>
      <c r="B29" s="6" t="s">
        <v>27</v>
      </c>
      <c r="C29" s="6">
        <v>67</v>
      </c>
      <c r="D29" s="6">
        <v>54</v>
      </c>
      <c r="E29" s="6">
        <v>54</v>
      </c>
      <c r="F29" s="5">
        <f>(C29*0.32)+(D29*0.33)+(E29*0.35)</f>
        <v>58.160000000000004</v>
      </c>
      <c r="G29" s="5" t="str" cm="1">
        <f t="array" ref="G29">_xlfn.IFS(F29&gt;=81,"A",F29&gt;=76,"AB",F29&gt;=66,"B",F29&gt;=61,"BC",F29&gt;=51,"C",F29&lt;51,"F")</f>
        <v>C</v>
      </c>
      <c r="I29" s="2"/>
      <c r="J29" s="8"/>
      <c r="K29" s="8"/>
      <c r="L29" s="8"/>
      <c r="M29" s="8"/>
    </row>
    <row r="30" spans="1:15" ht="15.5" x14ac:dyDescent="0.35">
      <c r="A30" s="6">
        <v>120095</v>
      </c>
      <c r="B30" s="6" t="s">
        <v>28</v>
      </c>
      <c r="C30" s="6">
        <v>69</v>
      </c>
      <c r="D30" s="6">
        <v>62</v>
      </c>
      <c r="E30" s="6">
        <v>71</v>
      </c>
      <c r="F30" s="5">
        <f>(C30*0.32)+(D30*0.33)+(E30*0.35)</f>
        <v>67.39</v>
      </c>
      <c r="G30" s="5" t="str" cm="1">
        <f t="array" ref="G30">_xlfn.IFS(F30&gt;=81,"A",F30&gt;=76,"AB",F30&gt;=66,"B",F30&gt;=61,"BC",F30&gt;=51,"C",F30&lt;51,"F")</f>
        <v>B</v>
      </c>
      <c r="I30" s="2"/>
      <c r="J30" s="1"/>
      <c r="K30" s="1"/>
      <c r="L30" s="1"/>
      <c r="M30" s="1"/>
    </row>
    <row r="31" spans="1:15" ht="15.5" x14ac:dyDescent="0.35">
      <c r="A31" s="6">
        <v>120098</v>
      </c>
      <c r="B31" s="6" t="s">
        <v>29</v>
      </c>
      <c r="C31" s="6">
        <v>76</v>
      </c>
      <c r="D31" s="6">
        <v>81</v>
      </c>
      <c r="E31" s="6">
        <v>75</v>
      </c>
      <c r="F31" s="5">
        <f>(C31*0.32)+(D31*0.33)+(E31*0.35)</f>
        <v>77.3</v>
      </c>
      <c r="G31" s="5" t="str" cm="1">
        <f t="array" ref="G31">_xlfn.IFS(F31&gt;=81,"A",F31&gt;=76,"AB",F31&gt;=66,"B",F31&gt;=61,"BC",F31&gt;=51,"C",F31&lt;51,"F")</f>
        <v>AB</v>
      </c>
      <c r="I31" s="2"/>
      <c r="J31" s="1"/>
      <c r="K31" s="1"/>
      <c r="L31" s="1"/>
      <c r="M31" s="1"/>
    </row>
    <row r="32" spans="1:15" ht="15.5" x14ac:dyDescent="0.35">
      <c r="A32" s="6">
        <v>120099</v>
      </c>
      <c r="B32" s="6" t="s">
        <v>30</v>
      </c>
      <c r="C32" s="6">
        <v>60</v>
      </c>
      <c r="D32" s="6">
        <v>65</v>
      </c>
      <c r="E32" s="6">
        <v>64</v>
      </c>
      <c r="F32" s="5">
        <f>(C32*0.32)+(D32*0.33)+(E32*0.35)</f>
        <v>63.05</v>
      </c>
      <c r="G32" s="5" t="str" cm="1">
        <f t="array" ref="G32">_xlfn.IFS(F32&gt;=81,"A",F32&gt;=76,"AB",F32&gt;=66,"B",F32&gt;=61,"BC",F32&gt;=51,"C",F32&lt;51,"F")</f>
        <v>BC</v>
      </c>
      <c r="I32" s="2"/>
    </row>
    <row r="33" spans="1:9" x14ac:dyDescent="0.35">
      <c r="I33" s="2"/>
    </row>
    <row r="34" spans="1:9" x14ac:dyDescent="0.35">
      <c r="I34" s="2"/>
    </row>
    <row r="35" spans="1:9" x14ac:dyDescent="0.35">
      <c r="A35" s="12"/>
      <c r="B35" s="12"/>
      <c r="C35" s="12"/>
      <c r="D35" s="12"/>
      <c r="E35" s="12"/>
      <c r="I35" s="2"/>
    </row>
    <row r="36" spans="1:9" x14ac:dyDescent="0.35">
      <c r="A36" s="12"/>
      <c r="B36" s="12"/>
      <c r="C36" s="12"/>
      <c r="D36" s="12"/>
      <c r="E36" s="12"/>
      <c r="I36" s="2"/>
    </row>
    <row r="37" spans="1:9" x14ac:dyDescent="0.35">
      <c r="A37" s="12"/>
      <c r="B37" s="12"/>
      <c r="C37" s="12"/>
      <c r="D37" s="12"/>
      <c r="E37" s="12"/>
      <c r="I37" s="2"/>
    </row>
    <row r="38" spans="1:9" x14ac:dyDescent="0.35">
      <c r="A38" s="13"/>
      <c r="B38" s="13"/>
      <c r="C38" s="13"/>
      <c r="D38" s="13"/>
      <c r="E38" s="12"/>
      <c r="I38" s="2"/>
    </row>
    <row r="39" spans="1:9" ht="15.5" x14ac:dyDescent="0.35">
      <c r="A39" s="13"/>
      <c r="B39" s="13"/>
      <c r="C39" s="13"/>
      <c r="D39" s="13"/>
      <c r="E39" s="12"/>
      <c r="G39" s="3"/>
      <c r="H39" s="3"/>
    </row>
    <row r="40" spans="1:9" ht="15.5" x14ac:dyDescent="0.35">
      <c r="A40" s="13"/>
      <c r="B40" s="14"/>
      <c r="C40" s="14"/>
      <c r="D40" s="13"/>
      <c r="E40" s="12"/>
    </row>
    <row r="41" spans="1:9" ht="15.5" x14ac:dyDescent="0.35">
      <c r="A41" s="13"/>
      <c r="B41" s="15"/>
      <c r="C41" s="15"/>
      <c r="D41" s="13"/>
      <c r="E41" s="12"/>
    </row>
    <row r="42" spans="1:9" ht="15.5" x14ac:dyDescent="0.35">
      <c r="A42" s="13"/>
      <c r="B42" s="15"/>
      <c r="C42" s="15"/>
      <c r="D42" s="13"/>
      <c r="E42" s="12"/>
    </row>
    <row r="43" spans="1:9" ht="15.5" x14ac:dyDescent="0.35">
      <c r="A43" s="13"/>
      <c r="B43" s="15"/>
      <c r="C43" s="15"/>
      <c r="D43" s="13"/>
      <c r="E43" s="12"/>
    </row>
    <row r="44" spans="1:9" ht="15.5" x14ac:dyDescent="0.35">
      <c r="A44" s="13"/>
      <c r="B44" s="15"/>
      <c r="C44" s="15"/>
      <c r="D44" s="13"/>
      <c r="E44" s="12"/>
    </row>
    <row r="45" spans="1:9" ht="15.5" x14ac:dyDescent="0.35">
      <c r="A45" s="13"/>
      <c r="B45" s="15"/>
      <c r="C45" s="15"/>
      <c r="D45" s="13"/>
      <c r="E45" s="12"/>
    </row>
    <row r="46" spans="1:9" ht="15.5" x14ac:dyDescent="0.35">
      <c r="A46" s="13"/>
      <c r="B46" s="15"/>
      <c r="C46" s="15"/>
      <c r="D46" s="13"/>
      <c r="E46" s="12"/>
    </row>
    <row r="47" spans="1:9" ht="15.5" x14ac:dyDescent="0.35">
      <c r="A47" s="13"/>
      <c r="B47" s="15"/>
      <c r="C47" s="15"/>
      <c r="D47" s="13"/>
      <c r="E47" s="12"/>
    </row>
    <row r="48" spans="1:9" ht="15.5" x14ac:dyDescent="0.35">
      <c r="A48" s="13"/>
      <c r="B48" s="15"/>
      <c r="C48" s="15"/>
      <c r="D48" s="13"/>
      <c r="E48" s="12"/>
    </row>
    <row r="49" spans="1:5" ht="15.5" x14ac:dyDescent="0.35">
      <c r="A49" s="13"/>
      <c r="B49" s="15"/>
      <c r="C49" s="15"/>
      <c r="D49" s="13"/>
      <c r="E49" s="12"/>
    </row>
    <row r="50" spans="1:5" ht="15.5" x14ac:dyDescent="0.35">
      <c r="A50" s="13"/>
      <c r="B50" s="15"/>
      <c r="C50" s="15"/>
      <c r="D50" s="13"/>
      <c r="E50" s="12"/>
    </row>
    <row r="51" spans="1:5" ht="15.5" x14ac:dyDescent="0.35">
      <c r="A51" s="13"/>
      <c r="B51" s="15"/>
      <c r="C51" s="15"/>
      <c r="D51" s="13"/>
      <c r="E51" s="12"/>
    </row>
    <row r="52" spans="1:5" ht="15.5" x14ac:dyDescent="0.35">
      <c r="A52" s="13"/>
      <c r="B52" s="15"/>
      <c r="C52" s="15"/>
      <c r="D52" s="13"/>
      <c r="E52" s="12"/>
    </row>
    <row r="53" spans="1:5" ht="15.5" x14ac:dyDescent="0.35">
      <c r="A53" s="13"/>
      <c r="B53" s="15"/>
      <c r="C53" s="15"/>
      <c r="D53" s="13"/>
      <c r="E53" s="12"/>
    </row>
    <row r="54" spans="1:5" ht="15.5" x14ac:dyDescent="0.35">
      <c r="A54" s="13"/>
      <c r="B54" s="15"/>
      <c r="C54" s="15"/>
      <c r="D54" s="13"/>
      <c r="E54" s="12"/>
    </row>
    <row r="55" spans="1:5" x14ac:dyDescent="0.35">
      <c r="A55" s="13"/>
      <c r="B55" s="13"/>
      <c r="C55" s="13"/>
      <c r="D55" s="13"/>
      <c r="E55" s="12"/>
    </row>
    <row r="56" spans="1:5" x14ac:dyDescent="0.35">
      <c r="A56" s="13"/>
      <c r="B56" s="13"/>
      <c r="C56" s="13"/>
      <c r="D56" s="13"/>
      <c r="E56" s="12"/>
    </row>
  </sheetData>
  <mergeCells count="1"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lymhurst</cp:lastModifiedBy>
  <dcterms:created xsi:type="dcterms:W3CDTF">2026-09-15T00:47:47Z</dcterms:created>
  <dcterms:modified xsi:type="dcterms:W3CDTF">2026-09-23T14:13:57Z</dcterms:modified>
</cp:coreProperties>
</file>